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43dc3239fed0de/PCB_Perso/T2601_APIArduino/T2601_APIArduinoExtentionBoard/"/>
    </mc:Choice>
  </mc:AlternateContent>
  <xr:revisionPtr revIDLastSave="511" documentId="8_{D99A6803-265B-43E3-9609-960129D8CCE8}" xr6:coauthVersionLast="47" xr6:coauthVersionMax="47" xr10:uidLastSave="{0054CC7A-A341-416D-A4F9-53A8B05CA1B9}"/>
  <bookViews>
    <workbookView xWindow="-98" yWindow="-98" windowWidth="21795" windowHeight="12975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21" i="1"/>
  <c r="I35" i="1"/>
  <c r="I13" i="1"/>
  <c r="I22" i="1"/>
  <c r="I30" i="1"/>
  <c r="I19" i="1"/>
  <c r="I3" i="1"/>
  <c r="I4" i="1"/>
  <c r="I5" i="1"/>
  <c r="I6" i="1"/>
  <c r="I7" i="1"/>
  <c r="I9" i="1"/>
  <c r="I10" i="1"/>
  <c r="I11" i="1"/>
  <c r="I12" i="1"/>
  <c r="I14" i="1"/>
  <c r="I15" i="1"/>
  <c r="I16" i="1"/>
  <c r="I17" i="1"/>
  <c r="I18" i="1"/>
  <c r="I20" i="1"/>
  <c r="I23" i="1"/>
  <c r="I24" i="1"/>
  <c r="I25" i="1"/>
  <c r="I26" i="1"/>
  <c r="I27" i="1"/>
  <c r="I28" i="1"/>
  <c r="I29" i="1"/>
  <c r="I31" i="1"/>
  <c r="I32" i="1"/>
  <c r="I33" i="1"/>
  <c r="I3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<sst xmlns="http://schemas.openxmlformats.org/spreadsheetml/2006/main" count="68" uniqueCount="50">
  <si>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</si>
  <si>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</si>
  <si>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</si>
  <si>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</si>
  <si>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</si>
  <si>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</si>
  <si>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</si>
  <si>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</si>
  <si>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Digikey</t>
  </si>
  <si>
    <t>Ref PCB</t>
  </si>
  <si>
    <t>PrixTot/PCB</t>
  </si>
  <si>
    <t>Condensateur</t>
  </si>
  <si>
    <t>Valeur</t>
  </si>
  <si>
    <t>Stock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</si>
  <si>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</si>
  <si>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</si>
  <si>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</si>
  <si>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</si>
  <si>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</si>
  <si>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</si>
  <si>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</si>
  <si>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P2.54mm</t>
  </si>
  <si>
    <t>V1</t>
  </si>
  <si>
    <t>BOM - PCB Extention Board API Arduino</t>
  </si>
  <si>
    <t>1x10</t>
  </si>
  <si>
    <t>Pin Header Male</t>
  </si>
  <si>
    <t>Pin Header Female</t>
  </si>
  <si>
    <t>2x3</t>
  </si>
  <si>
    <t>2x8</t>
  </si>
  <si>
    <t>1x4</t>
  </si>
  <si>
    <t>Connecteur XH Male</t>
  </si>
  <si>
    <t>Connecteur XH Femelle</t>
  </si>
  <si>
    <t xml:space="preserve"> XH P2.54mm</t>
  </si>
  <si>
    <t>Fil Précerti pour XH</t>
  </si>
  <si>
    <t>SECTION</t>
  </si>
  <si>
    <t>https://de.aliexpress.com/item/4000330409245.html?spm=a2g0o.productlist.main.6.7a9f8vp28vp26Z&amp;algo_pvid=5d570f5f-d3a5-46c6-a6f9-af9ff0e5193a&amp;pdp_ext_f=%7B%22order%22%3A%22743%22%2C%22eval%22%3A%221%22%2C%22fromPage%22%3A%22search%22%7D&amp;utparam-url=scene%3Asearch%7Cquery_from%3A%7Cx_object_id%3A4000330409245%7C_p_origin_prod%3A</t>
  </si>
  <si>
    <t>Aliexpress</t>
  </si>
  <si>
    <t>https://de.aliexpress.com/item/1005007813499880.html?spm=a2g0o.productlist.main.7.888bmzgJmzgJ8W&amp;algo_pvid=595cfd43-0cfb-4f71-8b5f-498047de2454&amp;pdp_ext_f=%7B%22order%22%3A%2268%22%2C%22eval%22%3A%221%22%2C%22fromPage%22%3A%22search%22%7D&amp;utparam-url=scene%3Asearch%7Cquery_from%3A%7Cx_object_id%3A1005007813499880%7C_p_origin_prod%3A</t>
  </si>
  <si>
    <t>https://de.aliexpress.com/item/1005005917096107.html?spm=a2g0o.productlist.main.8.888bmzgJmzgJ8W&amp;aem_p4p_detail=2026081312393314742949988849400000034531&amp;algo_pvid=595cfd43-0cfb-4f71-8b5f-498047de2454&amp;pdp_ext_f=%7B%22order%22%3A%22436%22%2C%22eval%22%3A%221%22%2C%22fromPage%22%3A%22search%22%7D&amp;utparam-url=scene%3Asearch%7Cquery_from%3A%7Cx_object_id%3A1005005917096107%7C_p_origin_prod%3A&amp;search_p4p_id=2026081312393314742949988849400000034531_2</t>
  </si>
  <si>
    <t>https://de.aliexpress.com/item/1005005509699672.html?spm=a2g0o.productlist.main.15.4216I4uKI4uKck&amp;algo_pvid=73a202d8-b478-4cc9-b3c4-eb32f571c339&amp;pdp_ext_f=%7B%22order%22%3A%22758%22%2C%22spu_best_type%22%3A%22price%22%2C%22eval%22%3A%221%22%2C%22fromPage%22%3A%22search%22%7D&amp;utparam-url=scene%3Asearch%7Cquery_from%3A%7Cx_object_id%3A1005005509699672%7C_p_origin_prod%3A</t>
  </si>
  <si>
    <t>Connecteur Cable Plat Male</t>
  </si>
  <si>
    <t>https://de.aliexpress.com/item/1005012223211250.html?spm=a2g0o.productlist.main.1.6cc1fuyZfuyZ4a&amp;algo_pvid=b02e5ced-4b58-4c81-a5b3-570f7ad6f6a3&amp;pdp_ext_f=%7B%22order%22%3A%2257%22%2C%22eval%22%3A%221%22%2C%22fromPage%22%3A%22search%22%7D&amp;utparam-url=scene%3Asearch%7Cquery_from%3A%7Cx_object_id%3A1005012223211250%7C_p_origin_prod%3A</t>
  </si>
  <si>
    <t>https://de.aliexpress.com/item/1005002864663115.html?spm=a2g0o.productlist.main.7.1d50RwERRwERc3&amp;algo_pvid=11516771-c383-40c8-bbaf-52a359e6a419&amp;pdp_ext_f=%7B%22order%22%3A%22662%22%2C%22eval%22%3A%221%22%2C%22fromPage%22%3A%22search%22%7D&amp;utparam-url=scene%3Asearch%7Cquery_from%3A%7Cx_object_id%3A1005002864663115%7C_p_origin_prod%3A</t>
  </si>
  <si>
    <t>Cable Plat</t>
  </si>
  <si>
    <t>8x0,14mm2</t>
  </si>
  <si>
    <t>3M</t>
  </si>
  <si>
    <t>https://www.digikey.ch/fr/products/detail/3m/3811-16-300/22532410</t>
  </si>
  <si>
    <t>ScrewTerminal</t>
  </si>
  <si>
    <t>1x2</t>
  </si>
  <si>
    <t>1x8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</si>
</sst>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L35" totalsRowShown="0" headerRowDxfId="4" headerRowBorderDxfId="3">
  <autoFilter ref="A2:L35" xr:uid="{69225E41-4DDD-470A-8E1A-242AA800D3ED}"/>
  <tableColumns count="12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L43"/>
  <sheetViews>
    <sheetView tabSelected="1" topLeftCell="C2" zoomScale="88" zoomScaleNormal="145" workbookViewId="0">
      <selection activeCell="K13" sqref="K13"/>
    </sheetView>
  </sheetViews>
  <sheetFormatPr baseColWidth="10" defaultRowHeight="14.25" x14ac:dyDescent="0.45"/>
  <cols>
    <col min="1" max="1" width="25.53125" customWidth="1"/>
    <col min="2" max="2" width="18.1328125" customWidth="1"/>
    <col min="3" max="3" width="12.796875" customWidth="1"/>
    <col min="4" max="4" width="14.1328125" bestFit="1" customWidth="1"/>
    <col min="5" max="5" width="16.86328125" customWidth="1"/>
    <col min="9" max="9" width="12.1328125" customWidth="1"/>
    <col min="10" max="10" width="19.86328125" customWidth="1"/>
    <col min="11" max="11" width="12.46484375" customWidth="1"/>
    <col min="12" max="12" width="79.53125" customWidth="1"/>
  </cols>
  <sheetData>
    <row r="1" spans="1:12" x14ac:dyDescent="0.45">
      <c r="A1" s="17" t="s">
        <v>23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14.65" thickBot="1" x14ac:dyDescent="0.5">
      <c r="A2" s="12" t="s">
        <v>0</v>
      </c>
      <c r="B2" s="12" t="s">
        <v>20</v>
      </c>
      <c r="C2" s="13" t="s">
        <v>9</v>
      </c>
      <c r="D2" s="12" t="s">
        <v>12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10</v>
      </c>
      <c r="J2" s="12" t="s">
        <v>5</v>
      </c>
      <c r="K2" s="12" t="s">
        <v>6</v>
      </c>
      <c r="L2" s="12" t="s">
        <v>7</v>
      </c>
    </row>
    <row r="3" spans="1:12" ht="15.75" x14ac:dyDescent="0.5">
      <c r="A3" s="16" t="s">
        <v>25</v>
      </c>
      <c r="D3" t="s">
        <v>24</v>
      </c>
      <c r="E3" t="s">
        <v>21</v>
      </c>
      <c r="F3">
        <v>4</v>
      </c>
      <c r="H3" s="15">
        <v>0.21</v>
      </c>
      <c r="I3" s="2">
        <f>Tableau2[[#This Row],[Qty/PCB]]*Tableau2[[#This Row],[Prix]]</f>
        <v>0.84</v>
      </c>
      <c r="K3" t="s">
        <v>36</v>
      </c>
      <c r="L3" s="14" t="s">
        <v>38</v>
      </c>
    </row>
    <row r="4" spans="1:12" ht="15.75" x14ac:dyDescent="0.5">
      <c r="A4" s="16" t="s">
        <v>26</v>
      </c>
      <c r="D4" t="s">
        <v>24</v>
      </c>
      <c r="E4" t="s">
        <v>21</v>
      </c>
      <c r="F4">
        <v>4</v>
      </c>
      <c r="H4" s="2">
        <v>0.15</v>
      </c>
      <c r="I4" s="2">
        <f>Tableau2[[#This Row],[Qty/PCB]]*Tableau2[[#This Row],[Prix]]</f>
        <v>0.6</v>
      </c>
      <c r="K4" t="s">
        <v>36</v>
      </c>
      <c r="L4" t="s">
        <v>37</v>
      </c>
    </row>
    <row r="5" spans="1:12" ht="15.75" x14ac:dyDescent="0.5">
      <c r="A5" s="16" t="s">
        <v>26</v>
      </c>
      <c r="D5" t="s">
        <v>27</v>
      </c>
      <c r="E5" t="s">
        <v>21</v>
      </c>
      <c r="F5">
        <v>1</v>
      </c>
      <c r="H5" s="2">
        <v>0.185</v>
      </c>
      <c r="I5" s="2">
        <f>Tableau2[[#This Row],[Qty/PCB]]*Tableau2[[#This Row],[Prix]]</f>
        <v>0.185</v>
      </c>
      <c r="K5" t="s">
        <v>36</v>
      </c>
      <c r="L5" t="s">
        <v>35</v>
      </c>
    </row>
    <row r="6" spans="1:12" x14ac:dyDescent="0.45">
      <c r="A6" t="s">
        <v>40</v>
      </c>
      <c r="D6" t="s">
        <v>28</v>
      </c>
      <c r="E6" t="s">
        <v>21</v>
      </c>
      <c r="F6">
        <v>2</v>
      </c>
      <c r="H6" s="2">
        <v>0.27</v>
      </c>
      <c r="I6" s="2">
        <f>Tableau2[[#This Row],[Qty/PCB]]*Tableau2[[#This Row],[Prix]]</f>
        <v>0.54</v>
      </c>
      <c r="J6" s="4"/>
      <c r="K6" t="s">
        <v>36</v>
      </c>
      <c r="L6" t="s">
        <v>39</v>
      </c>
    </row>
    <row r="7" spans="1:12" x14ac:dyDescent="0.45">
      <c r="A7" t="s">
        <v>30</v>
      </c>
      <c r="B7" s="3"/>
      <c r="D7" t="s">
        <v>29</v>
      </c>
      <c r="E7" t="s">
        <v>32</v>
      </c>
      <c r="F7">
        <v>2</v>
      </c>
      <c r="H7" s="2">
        <v>5.6000000000000001E-2</v>
      </c>
      <c r="I7" s="2">
        <f>Tableau2[[#This Row],[Qty/PCB]]*Tableau2[[#This Row],[Prix]]</f>
        <v>0.112</v>
      </c>
      <c r="J7" s="4"/>
      <c r="K7" t="s">
        <v>36</v>
      </c>
      <c r="L7" t="s">
        <v>42</v>
      </c>
    </row>
    <row r="8" spans="1:12" x14ac:dyDescent="0.45">
      <c r="A8" t="s">
        <v>31</v>
      </c>
      <c r="D8" t="s">
        <v>29</v>
      </c>
      <c r="E8" t="s">
        <v>32</v>
      </c>
      <c r="F8">
        <v>2</v>
      </c>
      <c r="H8" s="2">
        <v>0.03</v>
      </c>
      <c r="I8" s="2">
        <f>Tableau2[[#This Row],[Qty/PCB]]*Tableau2[[#This Row],[Prix]]</f>
        <v>0.06</v>
      </c>
      <c r="J8" s="4"/>
      <c r="K8" t="s">
        <v>36</v>
      </c>
      <c r="L8" t="s">
        <v>41</v>
      </c>
    </row>
    <row r="9" spans="1:12" x14ac:dyDescent="0.45">
      <c r="A9" t="s">
        <v>33</v>
      </c>
      <c r="D9" t="s">
        <v>34</v>
      </c>
      <c r="F9">
        <v>4</v>
      </c>
      <c r="H9" s="2"/>
      <c r="I9" s="2">
        <f>Tableau2[[#This Row],[Qty/PCB]]*Tableau2[[#This Row],[Prix]]</f>
        <v>0</v>
      </c>
      <c r="J9" s="4"/>
      <c r="K9" t="s">
        <v>36</v>
      </c>
    </row>
    <row r="10" spans="1:12" x14ac:dyDescent="0.45">
      <c r="A10" t="s">
        <v>43</v>
      </c>
      <c r="D10" t="s">
        <v>44</v>
      </c>
      <c r="F10">
        <v>1</v>
      </c>
      <c r="H10" s="2">
        <v>1.61</v>
      </c>
      <c r="I10" s="2">
        <f>Tableau2[[#This Row],[Qty/PCB]]*Tableau2[[#This Row],[Prix]]</f>
        <v>1.61</v>
      </c>
      <c r="J10" s="4" t="s">
        <v>45</v>
      </c>
      <c r="K10" t="s">
        <v>8</v>
      </c>
      <c r="L10" t="s">
        <v>46</v>
      </c>
    </row>
    <row r="11" spans="1:12" x14ac:dyDescent="0.45">
      <c r="A11" t="s">
        <v>47</v>
      </c>
      <c r="D11" t="s">
        <v>48</v>
      </c>
      <c r="E11" t="s">
        <v>21</v>
      </c>
      <c r="F11">
        <v>2</v>
      </c>
      <c r="H11" s="2"/>
      <c r="I11" s="2">
        <f>Tableau2[[#This Row],[Qty/PCB]]*Tableau2[[#This Row],[Prix]]</f>
        <v>0</v>
      </c>
      <c r="J11" s="4"/>
      <c r="K11" t="s">
        <v>36</v>
      </c>
    </row>
    <row r="12" spans="1:12" x14ac:dyDescent="0.45">
      <c r="A12" t="s">
        <v>47</v>
      </c>
      <c r="D12" t="s">
        <v>49</v>
      </c>
      <c r="E12" t="s">
        <v>21</v>
      </c>
      <c r="F12">
        <v>2</v>
      </c>
      <c r="H12" s="2"/>
      <c r="I12" s="2">
        <f>Tableau2[[#This Row],[Qty/PCB]]*Tableau2[[#This Row],[Prix]]</f>
        <v>0</v>
      </c>
      <c r="J12" s="4"/>
      <c r="K12" t="s">
        <v>36</v>
      </c>
    </row>
    <row r="13" spans="1:12" x14ac:dyDescent="0.45">
      <c r="A13" t="s">
        <v>11</v>
      </c>
      <c r="H13" s="2"/>
      <c r="I13" s="2">
        <f>Tableau2[[#This Row],[Qty/PCB]]*Tableau2[[#This Row],[Prix]]</f>
        <v>0</v>
      </c>
      <c r="J13" s="4"/>
      <c r="K13" t="s">
        <v>13</v>
      </c>
    </row>
    <row r="14" spans="1:12" x14ac:dyDescent="0.45">
      <c r="D14" s="5"/>
      <c r="H14" s="2"/>
      <c r="I14" s="2">
        <f>Tableau2[[#This Row],[Qty/PCB]]*Tableau2[[#This Row],[Prix]]</f>
        <v>0</v>
      </c>
      <c r="J14" s="4"/>
      <c r="L14" s="14"/>
    </row>
    <row r="15" spans="1:12" x14ac:dyDescent="0.45">
      <c r="H15" s="2"/>
      <c r="I15" s="2">
        <f>Tableau2[[#This Row],[Qty/PCB]]*Tableau2[[#This Row],[Prix]]</f>
        <v>0</v>
      </c>
      <c r="J15" s="4"/>
    </row>
    <row r="16" spans="1:12" x14ac:dyDescent="0.45">
      <c r="H16" s="2"/>
      <c r="I16" s="2">
        <f>Tableau2[[#This Row],[Qty/PCB]]*Tableau2[[#This Row],[Prix]]</f>
        <v>0</v>
      </c>
    </row>
    <row r="17" spans="4:10" x14ac:dyDescent="0.45">
      <c r="H17" s="2"/>
      <c r="I17" s="2">
        <f>Tableau2[[#This Row],[Qty/PCB]]*Tableau2[[#This Row],[Prix]]</f>
        <v>0</v>
      </c>
      <c r="J17" s="4"/>
    </row>
    <row r="18" spans="4:10" x14ac:dyDescent="0.45">
      <c r="H18" s="2"/>
      <c r="I18" s="2">
        <f>Tableau2[[#This Row],[Qty/PCB]]*Tableau2[[#This Row],[Prix]]</f>
        <v>0</v>
      </c>
      <c r="J18" s="4"/>
    </row>
    <row r="19" spans="4:10" x14ac:dyDescent="0.45">
      <c r="H19" s="2"/>
      <c r="I19" s="2">
        <f>Tableau2[[#This Row],[Qty/PCB]]*Tableau2[[#This Row],[Prix]]</f>
        <v>0</v>
      </c>
      <c r="J19" s="4"/>
    </row>
    <row r="20" spans="4:10" x14ac:dyDescent="0.45">
      <c r="D20" s="3"/>
      <c r="H20" s="2"/>
      <c r="I20" s="2">
        <f>Tableau2[[#This Row],[Qty/PCB]]*Tableau2[[#This Row],[Prix]]</f>
        <v>0</v>
      </c>
      <c r="J20" s="4"/>
    </row>
    <row r="21" spans="4:10" x14ac:dyDescent="0.45">
      <c r="D21" s="3"/>
      <c r="H21" s="2"/>
      <c r="I21" s="2">
        <f>Tableau2[[#This Row],[Qty/PCB]]*Tableau2[[#This Row],[Prix]]</f>
        <v>0</v>
      </c>
      <c r="J21" s="4"/>
    </row>
    <row r="22" spans="4:10" x14ac:dyDescent="0.45">
      <c r="D22" s="3"/>
      <c r="H22" s="2"/>
      <c r="I22" s="2">
        <f>Tableau2[[#This Row],[Qty/PCB]]*Tableau2[[#This Row],[Prix]]</f>
        <v>0</v>
      </c>
      <c r="J22" s="4"/>
    </row>
    <row r="23" spans="4:10" x14ac:dyDescent="0.45">
      <c r="D23" s="3"/>
      <c r="H23" s="2"/>
      <c r="I23" s="2">
        <f>Tableau2[[#This Row],[Qty/PCB]]*Tableau2[[#This Row],[Prix]]</f>
        <v>0</v>
      </c>
    </row>
    <row r="24" spans="4:10" x14ac:dyDescent="0.45">
      <c r="H24" s="2"/>
      <c r="I24" s="2">
        <f>Tableau2[[#This Row],[Qty/PCB]]*Tableau2[[#This Row],[Prix]]</f>
        <v>0</v>
      </c>
      <c r="J24" s="4"/>
    </row>
    <row r="25" spans="4:10" x14ac:dyDescent="0.45">
      <c r="H25" s="2"/>
      <c r="I25" s="2">
        <f>Tableau2[[#This Row],[Qty/PCB]]*Tableau2[[#This Row],[Prix]]</f>
        <v>0</v>
      </c>
      <c r="J25" s="4"/>
    </row>
    <row r="26" spans="4:10" x14ac:dyDescent="0.45">
      <c r="H26" s="2"/>
      <c r="I26" s="2">
        <f>Tableau2[[#This Row],[Qty/PCB]]*Tableau2[[#This Row],[Prix]]</f>
        <v>0</v>
      </c>
      <c r="J26" s="4"/>
    </row>
    <row r="27" spans="4:10" x14ac:dyDescent="0.45">
      <c r="H27" s="2"/>
      <c r="I27" s="2">
        <f>Tableau2[[#This Row],[Qty/PCB]]*Tableau2[[#This Row],[Prix]]</f>
        <v>0</v>
      </c>
      <c r="J27" s="4"/>
    </row>
    <row r="28" spans="4:10" x14ac:dyDescent="0.45">
      <c r="H28" s="2"/>
      <c r="I28" s="2">
        <f>Tableau2[[#This Row],[Qty/PCB]]*Tableau2[[#This Row],[Prix]]</f>
        <v>0</v>
      </c>
      <c r="J28" s="4"/>
    </row>
    <row r="29" spans="4:10" x14ac:dyDescent="0.45">
      <c r="H29" s="2"/>
      <c r="I29" s="2">
        <f>Tableau2[[#This Row],[Qty/PCB]]*Tableau2[[#This Row],[Prix]]</f>
        <v>0</v>
      </c>
      <c r="J29" s="4"/>
    </row>
    <row r="30" spans="4:10" x14ac:dyDescent="0.45">
      <c r="H30" s="2"/>
      <c r="I30" s="2">
        <f>Tableau2[[#This Row],[Qty/PCB]]*Tableau2[[#This Row],[Prix]]</f>
        <v>0</v>
      </c>
      <c r="J30" s="4"/>
    </row>
    <row r="31" spans="4:10" x14ac:dyDescent="0.45">
      <c r="H31" s="2"/>
      <c r="I31" s="2">
        <f>Tableau2[[#This Row],[Qty/PCB]]*Tableau2[[#This Row],[Prix]]</f>
        <v>0</v>
      </c>
      <c r="J31" s="4"/>
    </row>
    <row r="32" spans="4:10" x14ac:dyDescent="0.45">
      <c r="H32" s="2"/>
      <c r="I32" s="2">
        <f>Tableau2[[#This Row],[Qty/PCB]]*Tableau2[[#This Row],[Prix]]</f>
        <v>0</v>
      </c>
      <c r="J32" s="4"/>
    </row>
    <row r="33" spans="1:10" x14ac:dyDescent="0.45">
      <c r="H33" s="2"/>
      <c r="I33" s="2">
        <f>Tableau2[[#This Row],[Qty/PCB]]*Tableau2[[#This Row],[Prix]]</f>
        <v>0</v>
      </c>
      <c r="J33" s="4"/>
    </row>
    <row r="34" spans="1:10" x14ac:dyDescent="0.45">
      <c r="H34" s="2"/>
      <c r="I34" s="2">
        <f>Tableau2[[#This Row],[Qty/PCB]]*Tableau2[[#This Row],[Prix]]</f>
        <v>0</v>
      </c>
      <c r="J34" s="4"/>
    </row>
    <row r="35" spans="1:10" x14ac:dyDescent="0.45">
      <c r="H35" s="2"/>
      <c r="I35" s="2">
        <f>Tableau2[[#This Row],[Qty/PCB]]*Tableau2[[#This Row],[Prix]]</f>
        <v>0</v>
      </c>
      <c r="J35" s="4"/>
    </row>
    <row r="36" spans="1:10" x14ac:dyDescent="0.45">
      <c r="H36" s="2"/>
      <c r="I36" s="2"/>
    </row>
    <row r="37" spans="1:10" x14ac:dyDescent="0.45">
      <c r="A37" s="6" t="s">
        <v>16</v>
      </c>
      <c r="B37" s="6"/>
      <c r="C37" s="8">
        <v>46248</v>
      </c>
      <c r="D37" s="18" t="e" vm="1">
        <v>#VALUE!</v>
      </c>
      <c r="E37" s="19"/>
      <c r="F37" s="20"/>
      <c r="H37" s="2"/>
      <c r="I37" s="2"/>
    </row>
    <row r="38" spans="1:10" x14ac:dyDescent="0.45">
      <c r="A38" s="7" t="s">
        <v>15</v>
      </c>
      <c r="B38" s="7"/>
      <c r="C38" s="9" t="s">
        <v>14</v>
      </c>
      <c r="D38" s="21"/>
      <c r="E38" s="17"/>
      <c r="F38" s="22"/>
      <c r="H38" s="2"/>
      <c r="I38" s="2"/>
    </row>
    <row r="39" spans="1:10" x14ac:dyDescent="0.45">
      <c r="A39" s="7" t="s">
        <v>17</v>
      </c>
      <c r="B39" s="7"/>
      <c r="C39" s="9" t="s">
        <v>22</v>
      </c>
      <c r="D39" s="21"/>
      <c r="E39" s="17"/>
      <c r="F39" s="22"/>
    </row>
    <row r="40" spans="1:10" x14ac:dyDescent="0.45">
      <c r="A40" s="10" t="s">
        <v>18</v>
      </c>
      <c r="B40" s="10"/>
      <c r="C40" s="11" t="s">
        <v>19</v>
      </c>
      <c r="D40" s="23"/>
      <c r="E40" s="24"/>
      <c r="F40" s="25"/>
    </row>
    <row r="41" spans="1:10" x14ac:dyDescent="0.45">
      <c r="A41" s="1"/>
      <c r="B41" s="1"/>
    </row>
    <row r="42" spans="1:10" x14ac:dyDescent="0.45">
      <c r="A42" s="1"/>
      <c r="B42" s="1"/>
    </row>
    <row r="43" spans="1:10" x14ac:dyDescent="0.45">
      <c r="A43" s="1"/>
      <c r="B43" s="1"/>
    </row>
  </sheetData>
  <mergeCells count="2">
    <mergeCell ref="A1:L1"/>
    <mergeCell ref="D37:F40"/>
  </mergeCell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jules grucy</cp:lastModifiedBy>
  <cp:lastPrinted>2026-08-12T20:11:56Z</cp:lastPrinted>
  <dcterms:created xsi:type="dcterms:W3CDTF">2026-04-14T07:06:51Z</dcterms:created>
  <dcterms:modified xsi:type="dcterms:W3CDTF">2026-08-14T11:49:16Z</dcterms:modified>
</cp:coreProperties>
</file>